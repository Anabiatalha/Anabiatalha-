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\Documents\Custom Office Templates\"/>
    </mc:Choice>
  </mc:AlternateContent>
  <xr:revisionPtr revIDLastSave="0" documentId="13_ncr:1_{7211A2C6-9204-4014-80CC-96EB7FA3C877}" xr6:coauthVersionLast="36" xr6:coauthVersionMax="36" xr10:uidLastSave="{00000000-0000-0000-0000-000000000000}"/>
  <bookViews>
    <workbookView xWindow="0" yWindow="0" windowWidth="23040" windowHeight="9060" activeTab="1" xr2:uid="{BA01B618-79CA-453B-9DCF-245170AE6D78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H7" i="1"/>
  <c r="I7" i="1"/>
  <c r="J7" i="1"/>
  <c r="J3" i="1"/>
  <c r="J4" i="1"/>
  <c r="J5" i="1"/>
  <c r="J6" i="1"/>
  <c r="J2" i="1"/>
  <c r="I4" i="1"/>
  <c r="I5" i="1"/>
  <c r="I6" i="1"/>
  <c r="I3" i="1"/>
  <c r="H4" i="1"/>
  <c r="H5" i="1"/>
  <c r="H6" i="1"/>
  <c r="H3" i="1"/>
  <c r="G4" i="1"/>
  <c r="G5" i="1"/>
  <c r="G6" i="1"/>
  <c r="G3" i="1"/>
</calcChain>
</file>

<file path=xl/sharedStrings.xml><?xml version="1.0" encoding="utf-8"?>
<sst xmlns="http://schemas.openxmlformats.org/spreadsheetml/2006/main" count="35" uniqueCount="24">
  <si>
    <t>Student</t>
  </si>
  <si>
    <t xml:space="preserve"> Shehram</t>
  </si>
  <si>
    <t xml:space="preserve"> Ali</t>
  </si>
  <si>
    <t xml:space="preserve"> Abdullah</t>
  </si>
  <si>
    <t xml:space="preserve"> Waleed</t>
  </si>
  <si>
    <t xml:space="preserve"> Imran</t>
  </si>
  <si>
    <t xml:space="preserve"> Eng</t>
  </si>
  <si>
    <t xml:space="preserve"> Urdu</t>
  </si>
  <si>
    <t xml:space="preserve"> Isl</t>
  </si>
  <si>
    <t xml:space="preserve"> Math</t>
  </si>
  <si>
    <t xml:space="preserve"> Total</t>
  </si>
  <si>
    <t xml:space="preserve"> Average</t>
  </si>
  <si>
    <t xml:space="preserve"> obtain</t>
  </si>
  <si>
    <t xml:space="preserve"> Max</t>
  </si>
  <si>
    <t xml:space="preserve"> Min</t>
  </si>
  <si>
    <t xml:space="preserve"> If cndition</t>
  </si>
  <si>
    <t xml:space="preserve"> Nasir</t>
  </si>
  <si>
    <t xml:space="preserve"> Fail</t>
  </si>
  <si>
    <t>Row Labels</t>
  </si>
  <si>
    <t>Grand Total</t>
  </si>
  <si>
    <t>Sum of  Total</t>
  </si>
  <si>
    <t>Sum of  obtain</t>
  </si>
  <si>
    <t>PASS</t>
  </si>
  <si>
    <t>Sum of 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</si>
</sst>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SC" refreshedDate="45979.778144675925" createdVersion="6" refreshedVersion="6" minRefreshableVersion="3" recordCount="6" xr:uid="{C5C18F53-B980-4C7D-A3B4-F2C86AFB18D4}">
  <cacheSource type="worksheet">
    <worksheetSource ref="A1:K7" sheet="Sheet1"/>
  </cacheSource>
  <cacheFields count="11">
    <cacheField name="Student" numFmtId="0">
      <sharedItems count="6">
        <s v=" Shehram"/>
        <s v=" Ali"/>
        <s v=" Abdullah"/>
        <s v=" Waleed"/>
        <s v=" Imran"/>
        <s v=" Nasir"/>
      </sharedItems>
    </cacheField>
    <cacheField name=" Eng" numFmtId="0">
      <sharedItems containsSemiMixedTypes="0" containsString="0" containsNumber="1" containsInteger="1" minValue="35" maxValue="45"/>
    </cacheField>
    <cacheField name=" Urdu" numFmtId="0">
      <sharedItems containsSemiMixedTypes="0" containsString="0" containsNumber="1" containsInteger="1" minValue="25" maxValue="50"/>
    </cacheField>
    <cacheField name=" Isl" numFmtId="0">
      <sharedItems containsSemiMixedTypes="0" containsString="0" containsNumber="1" containsInteger="1" minValue="28" maxValue="47"/>
    </cacheField>
    <cacheField name=" Math" numFmtId="0">
      <sharedItems containsSemiMixedTypes="0" containsString="0" containsNumber="1" containsInteger="1" minValue="35" maxValue="48"/>
    </cacheField>
    <cacheField name=" Total" numFmtId="0">
      <sharedItems containsSemiMixedTypes="0" containsString="0" containsNumber="1" containsInteger="1" minValue="200" maxValue="200"/>
    </cacheField>
    <cacheField name=" obtain" numFmtId="0">
      <sharedItems containsSemiMixedTypes="0" containsString="0" containsNumber="1" containsInteger="1" minValue="138" maxValue="183" count="5">
        <n v="183"/>
        <n v="153"/>
        <n v="161"/>
        <n v="151"/>
        <n v="138"/>
      </sharedItems>
    </cacheField>
    <cacheField name=" Average" numFmtId="0">
      <sharedItems containsSemiMixedTypes="0" containsString="0" containsNumber="1" minValue="37.75" maxValue="76.400000000000006" count="5">
        <n v="76.400000000000006"/>
        <n v="38.25"/>
        <n v="40.25"/>
        <n v="37.75"/>
        <n v="74"/>
      </sharedItems>
    </cacheField>
    <cacheField name=" Max" numFmtId="0">
      <sharedItems containsSemiMixedTypes="0" containsString="0" containsNumber="1" containsInteger="1" minValue="40" maxValue="200"/>
    </cacheField>
    <cacheField name=" Min" numFmtId="0">
      <sharedItems containsSemiMixedTypes="0" containsString="0" containsNumber="1" containsInteger="1" minValue="25" maxValue="40"/>
    </cacheField>
    <cacheField name=" If cndition" numFmtId="0">
      <sharedItems count="2">
        <s v="PASS"/>
        <s v=" 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5"/>
    <n v="50"/>
    <n v="40"/>
    <n v="47"/>
    <n v="200"/>
    <x v="0"/>
    <x v="0"/>
    <n v="50"/>
    <n v="40"/>
    <x v="0"/>
  </r>
  <r>
    <x v="1"/>
    <n v="40"/>
    <n v="39"/>
    <n v="39"/>
    <n v="35"/>
    <n v="200"/>
    <x v="1"/>
    <x v="1"/>
    <n v="40"/>
    <n v="35"/>
    <x v="0"/>
  </r>
  <r>
    <x v="2"/>
    <n v="35"/>
    <n v="45"/>
    <n v="28"/>
    <n v="45"/>
    <n v="200"/>
    <x v="1"/>
    <x v="1"/>
    <n v="45"/>
    <n v="28"/>
    <x v="0"/>
  </r>
  <r>
    <x v="3"/>
    <n v="41"/>
    <n v="41"/>
    <n v="41"/>
    <n v="38"/>
    <n v="200"/>
    <x v="2"/>
    <x v="2"/>
    <n v="41"/>
    <n v="38"/>
    <x v="0"/>
  </r>
  <r>
    <x v="4"/>
    <n v="39"/>
    <n v="25"/>
    <n v="39"/>
    <n v="48"/>
    <n v="200"/>
    <x v="3"/>
    <x v="3"/>
    <n v="48"/>
    <n v="25"/>
    <x v="0"/>
  </r>
  <r>
    <x v="5"/>
    <n v="45"/>
    <n v="39"/>
    <n v="47"/>
    <n v="39"/>
    <n v="200"/>
    <x v="4"/>
    <x v="4"/>
    <n v="200"/>
    <n v="3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BEF76-2568-471E-8A4B-250B75BAE4CA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6" firstHeaderRow="0" firstDataRow="1" firstDataCol="1"/>
  <pivotFields count="11">
    <pivotField axis="axisRow" showAll="0">
      <items count="7">
        <item x="2"/>
        <item x="1"/>
        <item x="4"/>
        <item x="5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0"/>
    <field x="10"/>
  </rowFields>
  <rowItems count="13">
    <i>
      <x/>
    </i>
    <i r="1">
      <x v="1"/>
    </i>
    <i>
      <x v="1"/>
    </i>
    <i r="1">
      <x v="1"/>
    </i>
    <i>
      <x v="2"/>
    </i>
    <i r="1">
      <x v="1"/>
    </i>
    <i>
      <x v="3"/>
    </i>
    <i r="1">
      <x/>
    </i>
    <i>
      <x v="4"/>
    </i>
    <i r="1">
      <x v="1"/>
    </i>
    <i>
      <x v="5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Total" fld="5" baseField="0" baseItem="0"/>
    <dataField name="Sum of  obtain" fld="6" baseField="0" baseItem="0"/>
    <dataField name="Sum of  Averag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829E5-1BFD-4395-B938-579C906AAC6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5:N22" firstHeaderRow="1" firstDataRow="1" firstDataCol="0"/>
  <pivotFields count="11">
    <pivotField showAll="0">
      <items count="7">
        <item x="2"/>
        <item x="1"/>
        <item x="4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19A6-7113-41AB-892A-DA145C03209F}">
  <dimension ref="A3:D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3.44140625" bestFit="1" customWidth="1"/>
    <col min="4" max="4" width="14.88671875" bestFit="1" customWidth="1"/>
  </cols>
  <sheetData>
    <row r="3" spans="1:4" x14ac:dyDescent="0.3">
      <c r="A3" s="10" t="s">
        <v>18</v>
      </c>
      <c r="B3" t="s">
        <v>20</v>
      </c>
      <c r="C3" t="s">
        <v>21</v>
      </c>
      <c r="D3" t="s">
        <v>23</v>
      </c>
    </row>
    <row r="4" spans="1:4" x14ac:dyDescent="0.3">
      <c r="A4" s="11" t="s">
        <v>3</v>
      </c>
      <c r="B4" s="12">
        <v>200</v>
      </c>
      <c r="C4" s="12">
        <v>153</v>
      </c>
      <c r="D4" s="12">
        <v>38.25</v>
      </c>
    </row>
    <row r="5" spans="1:4" x14ac:dyDescent="0.3">
      <c r="A5" s="13" t="s">
        <v>22</v>
      </c>
      <c r="B5" s="12">
        <v>200</v>
      </c>
      <c r="C5" s="12">
        <v>153</v>
      </c>
      <c r="D5" s="12">
        <v>38.25</v>
      </c>
    </row>
    <row r="6" spans="1:4" x14ac:dyDescent="0.3">
      <c r="A6" s="11" t="s">
        <v>2</v>
      </c>
      <c r="B6" s="12">
        <v>200</v>
      </c>
      <c r="C6" s="12">
        <v>153</v>
      </c>
      <c r="D6" s="12">
        <v>38.25</v>
      </c>
    </row>
    <row r="7" spans="1:4" x14ac:dyDescent="0.3">
      <c r="A7" s="13" t="s">
        <v>22</v>
      </c>
      <c r="B7" s="12">
        <v>200</v>
      </c>
      <c r="C7" s="12">
        <v>153</v>
      </c>
      <c r="D7" s="12">
        <v>38.25</v>
      </c>
    </row>
    <row r="8" spans="1:4" x14ac:dyDescent="0.3">
      <c r="A8" s="11" t="s">
        <v>5</v>
      </c>
      <c r="B8" s="12">
        <v>200</v>
      </c>
      <c r="C8" s="12">
        <v>151</v>
      </c>
      <c r="D8" s="12">
        <v>37.75</v>
      </c>
    </row>
    <row r="9" spans="1:4" x14ac:dyDescent="0.3">
      <c r="A9" s="13" t="s">
        <v>22</v>
      </c>
      <c r="B9" s="12">
        <v>200</v>
      </c>
      <c r="C9" s="12">
        <v>151</v>
      </c>
      <c r="D9" s="12">
        <v>37.75</v>
      </c>
    </row>
    <row r="10" spans="1:4" x14ac:dyDescent="0.3">
      <c r="A10" s="11" t="s">
        <v>16</v>
      </c>
      <c r="B10" s="12">
        <v>200</v>
      </c>
      <c r="C10" s="12">
        <v>138</v>
      </c>
      <c r="D10" s="12">
        <v>74</v>
      </c>
    </row>
    <row r="11" spans="1:4" x14ac:dyDescent="0.3">
      <c r="A11" s="13" t="s">
        <v>17</v>
      </c>
      <c r="B11" s="12">
        <v>200</v>
      </c>
      <c r="C11" s="12">
        <v>138</v>
      </c>
      <c r="D11" s="12">
        <v>74</v>
      </c>
    </row>
    <row r="12" spans="1:4" x14ac:dyDescent="0.3">
      <c r="A12" s="11" t="s">
        <v>1</v>
      </c>
      <c r="B12" s="12">
        <v>200</v>
      </c>
      <c r="C12" s="12">
        <v>183</v>
      </c>
      <c r="D12" s="12">
        <v>76.400000000000006</v>
      </c>
    </row>
    <row r="13" spans="1:4" x14ac:dyDescent="0.3">
      <c r="A13" s="13" t="s">
        <v>22</v>
      </c>
      <c r="B13" s="12">
        <v>200</v>
      </c>
      <c r="C13" s="12">
        <v>183</v>
      </c>
      <c r="D13" s="12">
        <v>76.400000000000006</v>
      </c>
    </row>
    <row r="14" spans="1:4" x14ac:dyDescent="0.3">
      <c r="A14" s="11" t="s">
        <v>4</v>
      </c>
      <c r="B14" s="12">
        <v>200</v>
      </c>
      <c r="C14" s="12">
        <v>161</v>
      </c>
      <c r="D14" s="12">
        <v>40.25</v>
      </c>
    </row>
    <row r="15" spans="1:4" x14ac:dyDescent="0.3">
      <c r="A15" s="13" t="s">
        <v>22</v>
      </c>
      <c r="B15" s="12">
        <v>200</v>
      </c>
      <c r="C15" s="12">
        <v>161</v>
      </c>
      <c r="D15" s="12">
        <v>40.25</v>
      </c>
    </row>
    <row r="16" spans="1:4" x14ac:dyDescent="0.3">
      <c r="A16" s="11" t="s">
        <v>19</v>
      </c>
      <c r="B16" s="12">
        <v>1200</v>
      </c>
      <c r="C16" s="12">
        <v>939</v>
      </c>
      <c r="D16" s="12">
        <v>304.89999999999998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56AC-121E-4D1A-A5F0-E28CEFF9DCFF}">
  <dimension ref="A1:N22"/>
  <sheetViews>
    <sheetView tabSelected="1" workbookViewId="0"/>
  </sheetViews>
  <sheetFormatPr defaultRowHeight="14.4" x14ac:dyDescent="0.3"/>
  <cols>
    <col min="11" max="11" width="13.44140625" customWidth="1"/>
    <col min="12" max="12" width="12.5546875" bestFit="1" customWidth="1"/>
    <col min="13" max="13" width="6.33203125" bestFit="1" customWidth="1"/>
  </cols>
  <sheetData>
    <row r="1" spans="1:14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12</v>
      </c>
      <c r="H1" t="s">
        <v>11</v>
      </c>
      <c r="I1" t="s">
        <v>13</v>
      </c>
      <c r="J1" t="s">
        <v>14</v>
      </c>
      <c r="K1" t="s">
        <v>15</v>
      </c>
    </row>
    <row r="2" spans="1:14" x14ac:dyDescent="0.3">
      <c r="A2" t="s">
        <v>1</v>
      </c>
      <c r="B2">
        <v>45</v>
      </c>
      <c r="C2">
        <v>50</v>
      </c>
      <c r="D2">
        <v>40</v>
      </c>
      <c r="E2">
        <v>47</v>
      </c>
      <c r="F2">
        <v>200</v>
      </c>
      <c r="G2">
        <v>183</v>
      </c>
      <c r="H2">
        <v>76.400000000000006</v>
      </c>
      <c r="I2">
        <v>50</v>
      </c>
      <c r="J2">
        <f>MIN(B2:E2)</f>
        <v>40</v>
      </c>
      <c r="K2" t="str">
        <f>IF(G2&gt;150,"PASS","FALE")</f>
        <v>PASS</v>
      </c>
    </row>
    <row r="3" spans="1:14" x14ac:dyDescent="0.3">
      <c r="A3" t="s">
        <v>2</v>
      </c>
      <c r="B3">
        <v>40</v>
      </c>
      <c r="C3">
        <v>39</v>
      </c>
      <c r="D3">
        <v>39</v>
      </c>
      <c r="E3">
        <v>35</v>
      </c>
      <c r="F3">
        <v>200</v>
      </c>
      <c r="G3">
        <f>SUM(B3:E3)</f>
        <v>153</v>
      </c>
      <c r="H3">
        <f>AVERAGE(B3:E3)</f>
        <v>38.25</v>
      </c>
      <c r="I3">
        <f>MAX(B3:E3)</f>
        <v>40</v>
      </c>
      <c r="J3">
        <f t="shared" ref="J3:J6" si="0">MIN(B3:E3)</f>
        <v>35</v>
      </c>
      <c r="K3" t="str">
        <f t="shared" ref="K3:K6" si="1">IF(G3&gt;150,"PASS","FALE")</f>
        <v>PASS</v>
      </c>
    </row>
    <row r="4" spans="1:14" x14ac:dyDescent="0.3">
      <c r="A4" t="s">
        <v>3</v>
      </c>
      <c r="B4">
        <v>35</v>
      </c>
      <c r="C4">
        <v>45</v>
      </c>
      <c r="D4">
        <v>28</v>
      </c>
      <c r="E4">
        <v>45</v>
      </c>
      <c r="F4">
        <v>200</v>
      </c>
      <c r="G4">
        <f t="shared" ref="G4:G6" si="2">SUM(B4:E4)</f>
        <v>153</v>
      </c>
      <c r="H4">
        <f t="shared" ref="H4:H6" si="3">AVERAGE(B4:E4)</f>
        <v>38.25</v>
      </c>
      <c r="I4">
        <f t="shared" ref="I4:I6" si="4">MAX(B4:E4)</f>
        <v>45</v>
      </c>
      <c r="J4">
        <f t="shared" si="0"/>
        <v>28</v>
      </c>
      <c r="K4" t="str">
        <f t="shared" si="1"/>
        <v>PASS</v>
      </c>
    </row>
    <row r="5" spans="1:14" x14ac:dyDescent="0.3">
      <c r="A5" t="s">
        <v>4</v>
      </c>
      <c r="B5">
        <v>41</v>
      </c>
      <c r="C5">
        <v>41</v>
      </c>
      <c r="D5">
        <v>41</v>
      </c>
      <c r="E5">
        <v>38</v>
      </c>
      <c r="F5">
        <v>200</v>
      </c>
      <c r="G5">
        <f t="shared" si="2"/>
        <v>161</v>
      </c>
      <c r="H5">
        <f t="shared" si="3"/>
        <v>40.25</v>
      </c>
      <c r="I5">
        <f t="shared" si="4"/>
        <v>41</v>
      </c>
      <c r="J5">
        <f t="shared" si="0"/>
        <v>38</v>
      </c>
      <c r="K5" t="str">
        <f t="shared" si="1"/>
        <v>PASS</v>
      </c>
      <c r="L5" s="1"/>
      <c r="M5" s="2"/>
      <c r="N5" s="3"/>
    </row>
    <row r="6" spans="1:14" x14ac:dyDescent="0.3">
      <c r="A6" t="s">
        <v>5</v>
      </c>
      <c r="B6">
        <v>39</v>
      </c>
      <c r="C6">
        <v>25</v>
      </c>
      <c r="D6">
        <v>39</v>
      </c>
      <c r="E6">
        <v>48</v>
      </c>
      <c r="F6">
        <v>200</v>
      </c>
      <c r="G6">
        <f t="shared" si="2"/>
        <v>151</v>
      </c>
      <c r="H6">
        <f t="shared" si="3"/>
        <v>37.75</v>
      </c>
      <c r="I6">
        <f t="shared" si="4"/>
        <v>48</v>
      </c>
      <c r="J6">
        <f t="shared" si="0"/>
        <v>25</v>
      </c>
      <c r="K6" t="str">
        <f t="shared" si="1"/>
        <v>PASS</v>
      </c>
      <c r="L6" s="4"/>
      <c r="M6" s="5"/>
      <c r="N6" s="6"/>
    </row>
    <row r="7" spans="1:14" x14ac:dyDescent="0.3">
      <c r="A7" t="s">
        <v>16</v>
      </c>
      <c r="B7">
        <v>45</v>
      </c>
      <c r="C7">
        <v>39</v>
      </c>
      <c r="D7">
        <v>47</v>
      </c>
      <c r="E7">
        <v>39</v>
      </c>
      <c r="F7">
        <v>200</v>
      </c>
      <c r="G7">
        <v>138</v>
      </c>
      <c r="H7">
        <f>AVERAGE(B7:F7)</f>
        <v>74</v>
      </c>
      <c r="I7">
        <f>MAX(B7:F7)</f>
        <v>200</v>
      </c>
      <c r="J7">
        <f>MIN(B7:F7)</f>
        <v>39</v>
      </c>
      <c r="K7" t="s">
        <v>17</v>
      </c>
      <c r="L7" s="4"/>
      <c r="M7" s="5"/>
      <c r="N7" s="6"/>
    </row>
    <row r="8" spans="1:14" x14ac:dyDescent="0.3">
      <c r="L8" s="4"/>
      <c r="M8" s="5"/>
      <c r="N8" s="6"/>
    </row>
    <row r="9" spans="1:14" x14ac:dyDescent="0.3">
      <c r="L9" s="4"/>
      <c r="M9" s="5"/>
      <c r="N9" s="6"/>
    </row>
    <row r="10" spans="1:14" x14ac:dyDescent="0.3">
      <c r="L10" s="4"/>
      <c r="M10" s="5"/>
      <c r="N10" s="6"/>
    </row>
    <row r="11" spans="1:14" x14ac:dyDescent="0.3">
      <c r="L11" s="4"/>
      <c r="M11" s="5"/>
      <c r="N11" s="6"/>
    </row>
    <row r="12" spans="1:14" x14ac:dyDescent="0.3">
      <c r="L12" s="4"/>
      <c r="M12" s="5"/>
      <c r="N12" s="6"/>
    </row>
    <row r="13" spans="1:14" x14ac:dyDescent="0.3">
      <c r="L13" s="4"/>
      <c r="M13" s="5"/>
      <c r="N13" s="6"/>
    </row>
    <row r="14" spans="1:14" x14ac:dyDescent="0.3">
      <c r="L14" s="4"/>
      <c r="M14" s="5"/>
      <c r="N14" s="6"/>
    </row>
    <row r="15" spans="1:14" x14ac:dyDescent="0.3">
      <c r="L15" s="4"/>
      <c r="M15" s="5"/>
      <c r="N15" s="6"/>
    </row>
    <row r="16" spans="1:14" x14ac:dyDescent="0.3">
      <c r="L16" s="4"/>
      <c r="M16" s="5"/>
      <c r="N16" s="6"/>
    </row>
    <row r="17" spans="12:14" x14ac:dyDescent="0.3">
      <c r="L17" s="4"/>
      <c r="M17" s="5"/>
      <c r="N17" s="6"/>
    </row>
    <row r="18" spans="12:14" x14ac:dyDescent="0.3">
      <c r="L18" s="4"/>
      <c r="M18" s="5"/>
      <c r="N18" s="6"/>
    </row>
    <row r="19" spans="12:14" x14ac:dyDescent="0.3">
      <c r="L19" s="4"/>
      <c r="M19" s="5"/>
      <c r="N19" s="6"/>
    </row>
    <row r="20" spans="12:14" x14ac:dyDescent="0.3">
      <c r="L20" s="4"/>
      <c r="M20" s="5"/>
      <c r="N20" s="6"/>
    </row>
    <row r="21" spans="12:14" x14ac:dyDescent="0.3">
      <c r="L21" s="4"/>
      <c r="M21" s="5"/>
      <c r="N21" s="6"/>
    </row>
    <row r="22" spans="12:14" x14ac:dyDescent="0.3">
      <c r="L22" s="7"/>
      <c r="M22" s="8"/>
      <c r="N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</dc:creator>
  <cp:lastModifiedBy>SSC</cp:lastModifiedBy>
  <dcterms:created xsi:type="dcterms:W3CDTF">2025-11-18T13:17:17Z</dcterms:created>
  <dcterms:modified xsi:type="dcterms:W3CDTF">2025-11-18T15:07:36Z</dcterms:modified>
</cp:coreProperties>
</file>